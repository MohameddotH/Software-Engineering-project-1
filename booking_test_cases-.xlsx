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C5E"/>
      <sz val="9"/>
    </font>
    <font>
      <name val="Arial"/>
      <b val="1"/>
      <color rgb="00F57F17"/>
      <sz val="9"/>
    </font>
    <font>
      <name val="Arial"/>
      <b val="1"/>
      <color rgb="00FFFFFF"/>
      <sz val="13"/>
    </font>
    <font>
      <name val="Arial"/>
      <b val="1"/>
      <color rgb="001A3C5E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6A1B9A"/>
      <sz val="10"/>
    </font>
    <font>
      <name val="Arial"/>
      <b val="1"/>
      <color rgb="00C62828"/>
      <sz val="10"/>
    </font>
    <font>
      <name val="Arial"/>
      <b val="1"/>
      <color rgb="00F57F17"/>
      <sz val="10"/>
    </font>
  </fonts>
  <fills count="11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1F5F9"/>
        <bgColor rgb="00F1F5F9"/>
      </patternFill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F5F7FA"/>
        <bgColor rgb="00F5F7FA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A3C5E"/>
      </left>
      <right style="thin">
        <color rgb="001A3C5E"/>
      </right>
      <top style="thin">
        <color rgb="001A3C5E"/>
      </top>
      <bottom style="thin">
        <color rgb="001A3C5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5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top"/>
    </xf>
    <xf numFmtId="0" fontId="4" fillId="7" borderId="2" applyAlignment="1" pivotButton="0" quotePrefix="0" xfId="0">
      <alignment horizontal="left" vertical="top" wrapText="1"/>
    </xf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10" borderId="2" pivotButton="0" quotePrefix="0" xfId="0"/>
    <xf numFmtId="0" fontId="8" fillId="10" borderId="2" applyAlignment="1" pivotButton="0" quotePrefix="0" xfId="0">
      <alignment horizontal="center"/>
    </xf>
    <xf numFmtId="0" fontId="9" fillId="10" borderId="2" pivotButton="0" quotePrefix="0" xfId="0"/>
    <xf numFmtId="0" fontId="9" fillId="10" borderId="2" applyAlignment="1" pivotButton="0" quotePrefix="0" xfId="0">
      <alignment horizontal="center"/>
    </xf>
    <xf numFmtId="0" fontId="10" fillId="10" borderId="2" pivotButton="0" quotePrefix="0" xfId="0"/>
    <xf numFmtId="0" fontId="10" fillId="10" borderId="2" applyAlignment="1" pivotButton="0" quotePrefix="0" xfId="0">
      <alignment horizontal="center"/>
    </xf>
    <xf numFmtId="0" fontId="11" fillId="10" borderId="2" pivotButton="0" quotePrefix="0" xfId="0"/>
    <xf numFmtId="0" fontId="11" fillId="10" borderId="2" applyAlignment="1" pivotButton="0" quotePrefix="0" xfId="0">
      <alignment horizontal="center"/>
    </xf>
    <xf numFmtId="0" fontId="12" fillId="10" borderId="2" pivotButton="0" quotePrefix="0" xfId="0"/>
    <xf numFmtId="0" fontId="12" fillId="10" borderId="2" applyAlignment="1" pivotButton="0" quotePrefix="0" xfId="0">
      <alignment horizontal="center"/>
    </xf>
    <xf numFmtId="0" fontId="13" fillId="10" borderId="2" pivotButton="0" quotePrefix="0" xfId="0"/>
    <xf numFmtId="0" fontId="13" fillId="1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5" customWidth="1" min="4" max="4"/>
    <col width="32" customWidth="1" min="5" max="5"/>
    <col width="38" customWidth="1" min="6" max="6"/>
    <col width="10" customWidth="1" min="7" max="7"/>
  </cols>
  <sheetData>
    <row r="1" ht="36" customHeight="1">
      <c r="A1" s="1" t="inlineStr">
        <is>
          <t>Booking.com – QA Test Cases</t>
        </is>
      </c>
    </row>
    <row r="2" ht="20" customHeight="1">
      <c r="A2" s="2" t="inlineStr">
        <is>
          <t>Covers: Login | Hotel Search | Hotel Reservation</t>
        </is>
      </c>
    </row>
    <row r="3" ht="28" customHeight="1">
      <c r="A3" s="3" t="inlineStr">
        <is>
          <t>TC ID</t>
        </is>
      </c>
      <c r="B3" s="3" t="inlineStr">
        <is>
          <t>Test Case Name</t>
        </is>
      </c>
      <c r="C3" s="3" t="inlineStr">
        <is>
          <t>Preconditions</t>
        </is>
      </c>
      <c r="D3" s="3" t="inlineStr">
        <is>
          <t>Test Steps</t>
        </is>
      </c>
      <c r="E3" s="3" t="inlineStr">
        <is>
          <t>Input Data</t>
        </is>
      </c>
      <c r="F3" s="3" t="inlineStr">
        <is>
          <t>Expected Result</t>
        </is>
      </c>
      <c r="G3" s="3" t="inlineStr">
        <is>
          <t>Status</t>
        </is>
      </c>
    </row>
    <row r="4" ht="22" customHeight="1">
      <c r="A4" s="4" t="inlineStr">
        <is>
          <t xml:space="preserve">  ◆  LOGIN</t>
        </is>
      </c>
    </row>
    <row r="5" ht="80" customHeight="1">
      <c r="A5" s="5" t="inlineStr">
        <is>
          <t>TC-L01</t>
        </is>
      </c>
      <c r="B5" s="6" t="inlineStr">
        <is>
          <t>Valid Login with Correct Credentials</t>
        </is>
      </c>
      <c r="C5" s="6" t="inlineStr">
        <is>
          <t>User has a registered Booking.com account</t>
        </is>
      </c>
      <c r="D5" s="6" t="inlineStr">
        <is>
          <t>1. Navigate to Booking.com
2. Click 'Sign In'
3. Enter valid email
4. Enter valid password
5. Click 'Sign In' button</t>
        </is>
      </c>
      <c r="E5" s="6" t="inlineStr">
        <is>
          <t>Email: testuser@email.com
Password: ValidPass@123</t>
        </is>
      </c>
      <c r="F5" s="6" t="inlineStr">
        <is>
          <t>User is successfully logged in and redirected to homepage with account name displayed</t>
        </is>
      </c>
      <c r="G5" s="7" t="inlineStr">
        <is>
          <t>Pending</t>
        </is>
      </c>
    </row>
    <row r="6" ht="80" customHeight="1">
      <c r="A6" s="8" t="inlineStr">
        <is>
          <t>TC-L02</t>
        </is>
      </c>
      <c r="B6" s="9" t="inlineStr">
        <is>
          <t>Invalid Login – Wrong Password</t>
        </is>
      </c>
      <c r="C6" s="9" t="inlineStr">
        <is>
          <t>User has a registered Booking.com account</t>
        </is>
      </c>
      <c r="D6" s="9" t="inlineStr">
        <is>
          <t>1. Navigate to Booking.com
2. Click 'Sign In'
3. Enter valid email
4. Enter incorrect password
5. Click 'Sign In' button</t>
        </is>
      </c>
      <c r="E6" s="9" t="inlineStr">
        <is>
          <t>Email: testuser@email.com
Password: WrongPass999</t>
        </is>
      </c>
      <c r="F6" s="9" t="inlineStr">
        <is>
          <t>Login fails; error message displayed: 'Incorrect email or password'</t>
        </is>
      </c>
      <c r="G6" s="7" t="inlineStr">
        <is>
          <t>Pending</t>
        </is>
      </c>
    </row>
    <row r="7" ht="80" customHeight="1">
      <c r="A7" s="5" t="inlineStr">
        <is>
          <t>TC-L03</t>
        </is>
      </c>
      <c r="B7" s="6" t="inlineStr">
        <is>
          <t>Invalid Login – Unregistered Email</t>
        </is>
      </c>
      <c r="C7" s="6" t="inlineStr">
        <is>
          <t>Browser is open on Booking.com</t>
        </is>
      </c>
      <c r="D7" s="6" t="inlineStr">
        <is>
          <t>1. Navigate to Booking.com
2. Click 'Sign In'
3. Enter an unregistered email
4. Enter any password
5. Click 'Sign In' button</t>
        </is>
      </c>
      <c r="E7" s="6" t="inlineStr">
        <is>
          <t>Email: notexist@fake.com
Password: AnyPass123</t>
        </is>
      </c>
      <c r="F7" s="6" t="inlineStr">
        <is>
          <t>Login fails; error message indicates account not found or invalid credentials</t>
        </is>
      </c>
      <c r="G7" s="7" t="inlineStr">
        <is>
          <t>Pending</t>
        </is>
      </c>
    </row>
    <row r="8" ht="80" customHeight="1">
      <c r="A8" s="8" t="inlineStr">
        <is>
          <t>TC-L04</t>
        </is>
      </c>
      <c r="B8" s="9" t="inlineStr">
        <is>
          <t>Login with Empty Fields</t>
        </is>
      </c>
      <c r="C8" s="9" t="inlineStr">
        <is>
          <t>Browser is open on Booking.com login page</t>
        </is>
      </c>
      <c r="D8" s="9" t="inlineStr">
        <is>
          <t>1. Navigate to Sign In page
2. Leave email and password fields empty
3. Click 'Sign In' button</t>
        </is>
      </c>
      <c r="E8" s="9" t="inlineStr">
        <is>
          <t>Email: (empty)
Password: (empty)</t>
        </is>
      </c>
      <c r="F8" s="9" t="inlineStr">
        <is>
          <t>Form validation triggers; error shown requiring email and password fields</t>
        </is>
      </c>
      <c r="G8" s="7" t="inlineStr">
        <is>
          <t>Pending</t>
        </is>
      </c>
    </row>
    <row r="9" ht="80" customHeight="1">
      <c r="A9" s="5" t="inlineStr">
        <is>
          <t>TC-L05</t>
        </is>
      </c>
      <c r="B9" s="6" t="inlineStr">
        <is>
          <t>Logout Functionality</t>
        </is>
      </c>
      <c r="C9" s="6" t="inlineStr">
        <is>
          <t>User is logged into their Booking.com account</t>
        </is>
      </c>
      <c r="D9" s="6" t="inlineStr">
        <is>
          <t>1. Click on account name/avatar (top right)
2. Select 'Sign out' from dropdown
3. Observe redirect</t>
        </is>
      </c>
      <c r="E9" s="6" t="inlineStr">
        <is>
          <t>N/A</t>
        </is>
      </c>
      <c r="F9" s="6" t="inlineStr">
        <is>
          <t>User is logged out and redirected to homepage; 'Sign In' button visible again</t>
        </is>
      </c>
      <c r="G9" s="7" t="inlineStr">
        <is>
          <t>Pending</t>
        </is>
      </c>
    </row>
    <row r="10" ht="22" customHeight="1">
      <c r="A10" s="10" t="inlineStr">
        <is>
          <t xml:space="preserve">  ◆  HOTEL SEARCH</t>
        </is>
      </c>
    </row>
    <row r="11" ht="80" customHeight="1">
      <c r="A11" s="8" t="inlineStr">
        <is>
          <t>TC-S01</t>
        </is>
      </c>
      <c r="B11" s="9" t="inlineStr">
        <is>
          <t>Search Hotels by Destination and Dates</t>
        </is>
      </c>
      <c r="C11" s="9" t="inlineStr">
        <is>
          <t>User is on Booking.com homepage (logged in or guest)</t>
        </is>
      </c>
      <c r="D11" s="9" t="inlineStr">
        <is>
          <t>1. Enter destination in search box
2. Select check-in date
3. Select check-out date
4. Set 2 adults, 1 room
5. Click 'Search'</t>
        </is>
      </c>
      <c r="E11" s="9" t="inlineStr">
        <is>
          <t>Destination: Paris, France
Check-in: 2026-06-10
Check-out: 2026-06-15
Guests: 2 Adults, 1 Room</t>
        </is>
      </c>
      <c r="F11" s="9" t="inlineStr">
        <is>
          <t>Search results page loads showing available hotels in Paris for selected dates with prices</t>
        </is>
      </c>
      <c r="G11" s="7" t="inlineStr">
        <is>
          <t>Pending</t>
        </is>
      </c>
    </row>
    <row r="12" ht="80" customHeight="1">
      <c r="A12" s="5" t="inlineStr">
        <is>
          <t>TC-S02</t>
        </is>
      </c>
      <c r="B12" s="6" t="inlineStr">
        <is>
          <t>Search with Filters – Star Rating</t>
        </is>
      </c>
      <c r="C12" s="6" t="inlineStr">
        <is>
          <t>Search results are displayed for Paris, France</t>
        </is>
      </c>
      <c r="D12" s="6" t="inlineStr">
        <is>
          <t>1. Perform a hotel search
2. In the left filter panel, select '4 stars' and '5 stars'
3. Observe filtered results</t>
        </is>
      </c>
      <c r="E12" s="6" t="inlineStr">
        <is>
          <t>Filter: Star Rating = 4★ and 5★</t>
        </is>
      </c>
      <c r="F12" s="6" t="inlineStr">
        <is>
          <t>Results update to show only 4-star and 5-star hotels; lower-rated hotels are hidden</t>
        </is>
      </c>
      <c r="G12" s="7" t="inlineStr">
        <is>
          <t>Pending</t>
        </is>
      </c>
    </row>
    <row r="13" ht="80" customHeight="1">
      <c r="A13" s="8" t="inlineStr">
        <is>
          <t>TC-S03</t>
        </is>
      </c>
      <c r="B13" s="9" t="inlineStr">
        <is>
          <t>Search with Price Range Filter</t>
        </is>
      </c>
      <c r="C13" s="9" t="inlineStr">
        <is>
          <t>Search results are displayed for a destination</t>
        </is>
      </c>
      <c r="D13" s="9" t="inlineStr">
        <is>
          <t>1. Perform a hotel search
2. Set price range filter to $50–$150/night
3. Observe updated results</t>
        </is>
      </c>
      <c r="E13" s="9" t="inlineStr">
        <is>
          <t>Price Range: $50 – $150 per night</t>
        </is>
      </c>
      <c r="F13" s="9" t="inlineStr">
        <is>
          <t>Only hotels within the specified price range are displayed; out-of-range hotels removed</t>
        </is>
      </c>
      <c r="G13" s="7" t="inlineStr">
        <is>
          <t>Pending</t>
        </is>
      </c>
    </row>
    <row r="14" ht="80" customHeight="1">
      <c r="A14" s="5" t="inlineStr">
        <is>
          <t>TC-S04</t>
        </is>
      </c>
      <c r="B14" s="6" t="inlineStr">
        <is>
          <t>Search with Invalid / Nonexistent Destination</t>
        </is>
      </c>
      <c r="C14" s="6" t="inlineStr">
        <is>
          <t>User is on Booking.com homepage</t>
        </is>
      </c>
      <c r="D14" s="6" t="inlineStr">
        <is>
          <t>1. Enter an invalid destination in the search field
2. Select any dates
3. Click 'Search'</t>
        </is>
      </c>
      <c r="E14" s="6" t="inlineStr">
        <is>
          <t>Destination: 'xyzinvalidcity123'
Check-in: 2026-06-10
Check-out: 2026-06-12</t>
        </is>
      </c>
      <c r="F14" s="6" t="inlineStr">
        <is>
          <t>No results found message displayed or system suggests closest known destinations</t>
        </is>
      </c>
      <c r="G14" s="7" t="inlineStr">
        <is>
          <t>Pending</t>
        </is>
      </c>
    </row>
    <row r="15" ht="80" customHeight="1">
      <c r="A15" s="8" t="inlineStr">
        <is>
          <t>TC-S05</t>
        </is>
      </c>
      <c r="B15" s="9" t="inlineStr">
        <is>
          <t>Sort Search Results by Lowest Price</t>
        </is>
      </c>
      <c r="C15" s="9" t="inlineStr">
        <is>
          <t>Search results are displayed for a valid destination</t>
        </is>
      </c>
      <c r="D15" s="9" t="inlineStr">
        <is>
          <t>1. Perform a hotel search
2. Click 'Sort by' dropdown
3. Select 'Price (lowest first)'
4. Review result order</t>
        </is>
      </c>
      <c r="E15" s="9" t="inlineStr">
        <is>
          <t>Sort: Price – Lowest First</t>
        </is>
      </c>
      <c r="F15" s="9" t="inlineStr">
        <is>
          <t>Hotels are reordered with lowest nightly price at top; prices increase down the list</t>
        </is>
      </c>
      <c r="G15" s="7" t="inlineStr">
        <is>
          <t>Pending</t>
        </is>
      </c>
    </row>
    <row r="16" ht="22" customHeight="1">
      <c r="A16" s="11" t="inlineStr">
        <is>
          <t xml:space="preserve">  ◆  HOTEL RESERVATION</t>
        </is>
      </c>
    </row>
    <row r="17" ht="80" customHeight="1">
      <c r="A17" s="5" t="inlineStr">
        <is>
          <t>TC-R01</t>
        </is>
      </c>
      <c r="B17" s="6" t="inlineStr">
        <is>
          <t>Complete Hotel Reservation as Logged-In User</t>
        </is>
      </c>
      <c r="C17" s="6" t="inlineStr">
        <is>
          <t>User is logged in; hotel search results are displayed</t>
        </is>
      </c>
      <c r="D17" s="6" t="inlineStr">
        <is>
          <t>1. Click on a hotel from results
2. Select room type
3. Click 'Reserve'
4. Fill in guest details
5. Enter payment info
6. Confirm booking</t>
        </is>
      </c>
      <c r="E17" s="6" t="inlineStr">
        <is>
          <t>Hotel: Any available 4★
Room: Standard Double
Guests: 2 Adults
Card: 4111111111111111
Exp: 12/27 CVV: 123</t>
        </is>
      </c>
      <c r="F17" s="6" t="inlineStr">
        <is>
          <t>Booking confirmation page displayed with reservation ID, hotel name, dates, and total cost</t>
        </is>
      </c>
      <c r="G17" s="7" t="inlineStr">
        <is>
          <t>Pending</t>
        </is>
      </c>
    </row>
    <row r="18" ht="80" customHeight="1">
      <c r="A18" s="8" t="inlineStr">
        <is>
          <t>TC-R02</t>
        </is>
      </c>
      <c r="B18" s="9" t="inlineStr">
        <is>
          <t>Attempt Reservation Without Login</t>
        </is>
      </c>
      <c r="C18" s="9" t="inlineStr">
        <is>
          <t>User is NOT logged in; hotel detail page is open</t>
        </is>
      </c>
      <c r="D18" s="9" t="inlineStr">
        <is>
          <t>1. Search for a hotel without signing in
2. Select a room
3. Click 'Reserve'
4. Observe system behavior</t>
        </is>
      </c>
      <c r="E18" s="9" t="inlineStr">
        <is>
          <t>N/A (guest user, no credentials)</t>
        </is>
      </c>
      <c r="F18" s="9" t="inlineStr">
        <is>
          <t>System prompts user to sign in or continue as guest before proceeding to booking form</t>
        </is>
      </c>
      <c r="G18" s="7" t="inlineStr">
        <is>
          <t>Pending</t>
        </is>
      </c>
    </row>
    <row r="19" ht="80" customHeight="1">
      <c r="A19" s="5" t="inlineStr">
        <is>
          <t>TC-R03</t>
        </is>
      </c>
      <c r="B19" s="6" t="inlineStr">
        <is>
          <t>Reservation with Invalid Credit Card</t>
        </is>
      </c>
      <c r="C19" s="6" t="inlineStr">
        <is>
          <t>User is logged in; guest details have been filled in</t>
        </is>
      </c>
      <c r="D19" s="6" t="inlineStr">
        <is>
          <t>1. Select a hotel and room
2. Click 'Reserve'
3. Fill in guest details
4. Enter invalid credit card
5. Click 'Complete booking'</t>
        </is>
      </c>
      <c r="E19" s="6" t="inlineStr">
        <is>
          <t>Card Number: 1234567890123456
Exp: 01/23 (expired)
CVV: 000</t>
        </is>
      </c>
      <c r="F19" s="6" t="inlineStr">
        <is>
          <t>Payment fails; error message displayed indicating invalid or declined card details</t>
        </is>
      </c>
      <c r="G19" s="7" t="inlineStr">
        <is>
          <t>Pending</t>
        </is>
      </c>
    </row>
    <row r="20" ht="80" customHeight="1">
      <c r="A20" s="8" t="inlineStr">
        <is>
          <t>TC-R04</t>
        </is>
      </c>
      <c r="B20" s="9" t="inlineStr">
        <is>
          <t>Verify Booking Appears in My Account</t>
        </is>
      </c>
      <c r="C20" s="9" t="inlineStr">
        <is>
          <t>User has completed a successful reservation (TC-R01)</t>
        </is>
      </c>
      <c r="D20" s="9" t="inlineStr">
        <is>
          <t>1. Click on account name
2. Navigate to 'Bookings'
3. Check for the recent reservation</t>
        </is>
      </c>
      <c r="E20" s="9" t="inlineStr">
        <is>
          <t>N/A</t>
        </is>
      </c>
      <c r="F20" s="9" t="inlineStr">
        <is>
          <t>The completed reservation is listed under 'Upcoming Bookings' with correct hotel, dates, and confirmation number</t>
        </is>
      </c>
      <c r="G20" s="7" t="inlineStr">
        <is>
          <t>Pending</t>
        </is>
      </c>
    </row>
    <row r="21" ht="80" customHeight="1">
      <c r="A21" s="5" t="inlineStr">
        <is>
          <t>TC-R05</t>
        </is>
      </c>
      <c r="B21" s="6" t="inlineStr">
        <is>
          <t>Cancel a Hotel Reservation</t>
        </is>
      </c>
      <c r="C21" s="6" t="inlineStr">
        <is>
          <t>User is logged in and has an upcoming booking with free cancellation</t>
        </is>
      </c>
      <c r="D21" s="6" t="inlineStr">
        <is>
          <t>1. Go to account 'Bookings'
2. Select the active booking
3. Click 'Cancel booking'
4. Confirm cancellation</t>
        </is>
      </c>
      <c r="E21" s="6" t="inlineStr">
        <is>
          <t>Booking: Any upcoming reservation with free cancellation policy</t>
        </is>
      </c>
      <c r="F21" s="6" t="inlineStr">
        <is>
          <t>Booking status changes to 'Cancelled'; confirmation email sent; refund policy shown</t>
        </is>
      </c>
      <c r="G21" s="7" t="inlineStr">
        <is>
          <t>Pending</t>
        </is>
      </c>
    </row>
  </sheetData>
  <mergeCells count="5">
    <mergeCell ref="A1:G1"/>
    <mergeCell ref="A4:G4"/>
    <mergeCell ref="A16:G16"/>
    <mergeCell ref="A2:G2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12" t="inlineStr">
        <is>
          <t>Test Summary</t>
        </is>
      </c>
    </row>
    <row r="2" ht="22" customHeight="1">
      <c r="A2" s="13" t="inlineStr">
        <is>
          <t>Total Test Cases</t>
        </is>
      </c>
      <c r="B2" s="14">
        <f>COUNTA('Test Cases'!A4:A100)-COUNTIF('Test Cases'!A4:A100,"")</f>
        <v/>
      </c>
    </row>
    <row r="3" ht="22" customHeight="1">
      <c r="A3" s="15" t="inlineStr">
        <is>
          <t>Login Test Cases</t>
        </is>
      </c>
      <c r="B3" s="16" t="n">
        <v>5</v>
      </c>
    </row>
    <row r="4" ht="22" customHeight="1">
      <c r="A4" s="17" t="inlineStr">
        <is>
          <t>Hotel Search Test Cases</t>
        </is>
      </c>
      <c r="B4" s="18" t="n">
        <v>5</v>
      </c>
    </row>
    <row r="5" ht="22" customHeight="1">
      <c r="A5" s="19" t="inlineStr">
        <is>
          <t>Hotel Reservation Test Cases</t>
        </is>
      </c>
      <c r="B5" s="20" t="n">
        <v>5</v>
      </c>
    </row>
    <row r="6" ht="22" customHeight="1">
      <c r="A6" t="inlineStr"/>
      <c r="B6" t="inlineStr"/>
    </row>
    <row r="7" ht="22" customHeight="1">
      <c r="A7" s="17" t="inlineStr">
        <is>
          <t>Pass</t>
        </is>
      </c>
      <c r="B7" s="18">
        <f>COUNTIF('Test Cases'!G4:G100,"Pass")</f>
        <v/>
      </c>
    </row>
    <row r="8" ht="22" customHeight="1">
      <c r="A8" s="21" t="inlineStr">
        <is>
          <t>Fail</t>
        </is>
      </c>
      <c r="B8" s="22">
        <f>COUNTIF('Test Cases'!G4:G100,"Fail")</f>
        <v/>
      </c>
    </row>
    <row r="9" ht="22" customHeight="1">
      <c r="A9" s="23" t="inlineStr">
        <is>
          <t>Pending</t>
        </is>
      </c>
      <c r="B9" s="24">
        <f>COUNTIF('Test Cases'!G4:G100,"Pending")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2026-05-04T13:03:08Z</dcterms:created>
  <dcterms:modified xmlns:dcterms="http://purl.org/dc/terms/" xmlns:xsi="http://www.w3.org/2001/XMLSchema-instance" xsi:type="dcterms:W3CDTF">2026-05-04T13:03:08Z</dcterms:modified>
</cp:coreProperties>
</file>